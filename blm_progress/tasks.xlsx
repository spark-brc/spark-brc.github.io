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meline\"/>
    </mc:Choice>
  </mc:AlternateContent>
  <xr:revisionPtr revIDLastSave="0" documentId="13_ncr:1_{26C03EB6-2294-4824-8B8F-9EA3A07E369B}" xr6:coauthVersionLast="45" xr6:coauthVersionMax="45" xr10:uidLastSave="{00000000-0000-0000-0000-000000000000}"/>
  <bookViews>
    <workbookView xWindow="15315" yWindow="3615" windowWidth="20565" windowHeight="13005" activeTab="1" xr2:uid="{398D0BE6-39BC-444F-804A-260EA2DC115A}"/>
  </bookViews>
  <sheets>
    <sheet name="projects" sheetId="1" r:id="rId1"/>
    <sheet name="papers" sheetId="3" r:id="rId2"/>
    <sheet name="studi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" i="3" l="1"/>
  <c r="D10" i="3" s="1"/>
  <c r="D2" i="3"/>
  <c r="D15" i="1"/>
  <c r="D10" i="1" s="1"/>
  <c r="D2" i="1"/>
</calcChain>
</file>

<file path=xl/sharedStrings.xml><?xml version="1.0" encoding="utf-8"?>
<sst xmlns="http://schemas.openxmlformats.org/spreadsheetml/2006/main" count="48" uniqueCount="22">
  <si>
    <t>start date</t>
  </si>
  <si>
    <t>end date</t>
  </si>
  <si>
    <t>progress %</t>
  </si>
  <si>
    <t>Tasks</t>
  </si>
  <si>
    <t>a. Develop MODFLOW model</t>
  </si>
  <si>
    <t>a. Link SWAT with MODFLOW</t>
  </si>
  <si>
    <t>a. Setup 6070 Model</t>
  </si>
  <si>
    <t>a. Calibrate 6070 Model</t>
  </si>
  <si>
    <t>a. Develop 2000 Model</t>
  </si>
  <si>
    <t>a. 1st round calibration</t>
  </si>
  <si>
    <t>a. 2nd round calibration</t>
  </si>
  <si>
    <t>b. Link SWAT with MODFLOW</t>
  </si>
  <si>
    <t>b. Collect geological data</t>
  </si>
  <si>
    <t>b. Develop RT3D model</t>
  </si>
  <si>
    <t>b. 1st round calibration</t>
  </si>
  <si>
    <t>c. - - - - - - - APEXMOD - - - - - - -</t>
  </si>
  <si>
    <t>c. Modified and adapted from QSWATMOD</t>
  </si>
  <si>
    <t>c. Database /  preprocessing</t>
  </si>
  <si>
    <t>a.  - - - - - - - Okvango Watershed - - - - - - -</t>
  </si>
  <si>
    <t>b.  - - - - - - - Animas Watershed - - - - - - -</t>
  </si>
  <si>
    <t xml:space="preserve">c. 3rd tab: Configuration </t>
  </si>
  <si>
    <t>c. 4st tab: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</si>
</sst>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1" fillId="0" borderId="0" xfId="0" applyNumberFormat="1" applyFont="1"/>
    <xf numFmtId="49" fontId="1" fillId="2" borderId="0" xfId="0" applyNumberFormat="1" applyFont="1" applyFill="1" applyAlignment="1">
      <alignment horizontal="right"/>
    </xf>
    <xf numFmtId="14" fontId="0" fillId="2" borderId="0" xfId="0" applyNumberFormat="1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841C-D20B-4254-A3A4-EDFA4669B705}">
  <dimension ref="A1:D19"/>
  <sheetViews>
    <sheetView workbookViewId="0">
      <selection activeCell="A29" sqref="A29"/>
    </sheetView>
  </sheetViews>
  <sheetFormatPr defaultRowHeight="15" x14ac:dyDescent="0.25"/>
  <cols>
    <col min="1" max="1" width="38.85546875" style="3" bestFit="1" customWidth="1"/>
    <col min="2" max="2" width="15.5703125" customWidth="1"/>
    <col min="3" max="3" width="15.140625" customWidth="1"/>
    <col min="4" max="4" width="10.5703125" bestFit="1" customWidth="1"/>
  </cols>
  <sheetData>
    <row r="1" spans="1:4" x14ac:dyDescent="0.25">
      <c r="A1" s="5" t="s">
        <v>3</v>
      </c>
      <c r="B1" s="2" t="s">
        <v>0</v>
      </c>
      <c r="C1" s="2" t="s">
        <v>1</v>
      </c>
      <c r="D1" s="2" t="s">
        <v>2</v>
      </c>
    </row>
    <row r="2" spans="1:4" x14ac:dyDescent="0.25">
      <c r="A2" s="6" t="s">
        <v>18</v>
      </c>
      <c r="B2" s="7">
        <v>43922</v>
      </c>
      <c r="C2" s="7">
        <v>44196</v>
      </c>
      <c r="D2" s="8">
        <f>AVERAGE(D3:D9)</f>
        <v>87.142857142857139</v>
      </c>
    </row>
    <row r="3" spans="1:4" x14ac:dyDescent="0.25">
      <c r="A3" s="4" t="s">
        <v>4</v>
      </c>
      <c r="B3" s="1">
        <v>43922</v>
      </c>
      <c r="C3" s="1">
        <v>43951</v>
      </c>
      <c r="D3">
        <v>100</v>
      </c>
    </row>
    <row r="4" spans="1:4" x14ac:dyDescent="0.25">
      <c r="A4" s="4" t="s">
        <v>5</v>
      </c>
      <c r="B4" s="1">
        <v>43922</v>
      </c>
      <c r="C4" s="1">
        <v>43951</v>
      </c>
      <c r="D4">
        <v>100</v>
      </c>
    </row>
    <row r="5" spans="1:4" x14ac:dyDescent="0.25">
      <c r="A5" s="4" t="s">
        <v>6</v>
      </c>
      <c r="B5" s="1">
        <v>43952</v>
      </c>
      <c r="C5" s="1">
        <v>43982</v>
      </c>
      <c r="D5">
        <v>100</v>
      </c>
    </row>
    <row r="6" spans="1:4" x14ac:dyDescent="0.25">
      <c r="A6" s="4" t="s">
        <v>7</v>
      </c>
      <c r="B6" s="1">
        <v>43983</v>
      </c>
      <c r="C6" s="1">
        <v>44012</v>
      </c>
      <c r="D6">
        <v>100</v>
      </c>
    </row>
    <row r="7" spans="1:4" x14ac:dyDescent="0.25">
      <c r="A7" s="4" t="s">
        <v>8</v>
      </c>
      <c r="B7" s="1">
        <v>44013</v>
      </c>
      <c r="C7" s="1">
        <v>44043</v>
      </c>
      <c r="D7">
        <v>100</v>
      </c>
    </row>
    <row r="8" spans="1:4" x14ac:dyDescent="0.25">
      <c r="A8" s="4" t="s">
        <v>9</v>
      </c>
      <c r="B8" s="1">
        <v>44044</v>
      </c>
      <c r="C8" s="1">
        <v>44074</v>
      </c>
      <c r="D8">
        <v>100</v>
      </c>
    </row>
    <row r="9" spans="1:4" x14ac:dyDescent="0.25">
      <c r="A9" s="4" t="s">
        <v>10</v>
      </c>
      <c r="B9" s="1">
        <v>44075</v>
      </c>
      <c r="C9" s="1">
        <v>44099</v>
      </c>
      <c r="D9">
        <v>10</v>
      </c>
    </row>
    <row r="10" spans="1:4" x14ac:dyDescent="0.25">
      <c r="A10" s="6" t="s">
        <v>19</v>
      </c>
      <c r="B10" s="7">
        <v>43922</v>
      </c>
      <c r="C10" s="7">
        <v>44196</v>
      </c>
      <c r="D10" s="8">
        <f>AVERAGE(D12:D15)</f>
        <v>29.666666666666668</v>
      </c>
    </row>
    <row r="11" spans="1:4" x14ac:dyDescent="0.25">
      <c r="A11" s="4" t="s">
        <v>11</v>
      </c>
      <c r="B11" s="1">
        <v>43952</v>
      </c>
      <c r="C11" s="1">
        <v>43982</v>
      </c>
      <c r="D11">
        <v>100</v>
      </c>
    </row>
    <row r="12" spans="1:4" x14ac:dyDescent="0.25">
      <c r="A12" s="4" t="s">
        <v>12</v>
      </c>
      <c r="B12" s="1">
        <v>44075</v>
      </c>
      <c r="C12" s="1">
        <v>44104</v>
      </c>
      <c r="D12">
        <v>50</v>
      </c>
    </row>
    <row r="13" spans="1:4" x14ac:dyDescent="0.25">
      <c r="A13" s="4" t="s">
        <v>13</v>
      </c>
      <c r="B13" s="1">
        <v>44105</v>
      </c>
      <c r="C13" s="1">
        <v>44135</v>
      </c>
      <c r="D13">
        <v>1</v>
      </c>
    </row>
    <row r="14" spans="1:4" x14ac:dyDescent="0.25">
      <c r="A14" s="4" t="s">
        <v>14</v>
      </c>
      <c r="B14" s="1">
        <v>44136</v>
      </c>
      <c r="C14" s="1">
        <v>44165</v>
      </c>
      <c r="D14">
        <v>1</v>
      </c>
    </row>
    <row r="15" spans="1:4" x14ac:dyDescent="0.25">
      <c r="A15" s="6" t="s">
        <v>15</v>
      </c>
      <c r="B15" s="7">
        <v>43983</v>
      </c>
      <c r="C15" s="7">
        <v>44165</v>
      </c>
      <c r="D15" s="8">
        <f>AVERAGE(D17:D20)</f>
        <v>66.666666666666671</v>
      </c>
    </row>
    <row r="16" spans="1:4" x14ac:dyDescent="0.25">
      <c r="A16" s="4" t="s">
        <v>16</v>
      </c>
      <c r="B16" s="1">
        <v>43983</v>
      </c>
      <c r="C16" s="1">
        <v>44012</v>
      </c>
      <c r="D16">
        <v>100</v>
      </c>
    </row>
    <row r="17" spans="1:4" x14ac:dyDescent="0.25">
      <c r="A17" s="4" t="s">
        <v>17</v>
      </c>
      <c r="B17" s="1">
        <v>44075</v>
      </c>
      <c r="C17" s="1">
        <v>44104</v>
      </c>
      <c r="D17">
        <v>90</v>
      </c>
    </row>
    <row r="18" spans="1:4" x14ac:dyDescent="0.25">
      <c r="A18" s="4" t="s">
        <v>20</v>
      </c>
      <c r="B18" s="1">
        <v>44089</v>
      </c>
      <c r="C18" s="1">
        <v>44135</v>
      </c>
      <c r="D18">
        <v>80</v>
      </c>
    </row>
    <row r="19" spans="1:4" x14ac:dyDescent="0.25">
      <c r="A19" s="4" t="s">
        <v>21</v>
      </c>
      <c r="B19" s="1">
        <v>44105</v>
      </c>
      <c r="C19" s="1">
        <v>44135</v>
      </c>
      <c r="D19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57D5-AD55-40CD-B46A-46825C2937F3}">
  <dimension ref="A1:D19"/>
  <sheetViews>
    <sheetView tabSelected="1" workbookViewId="0">
      <selection activeCell="V23" sqref="V23"/>
    </sheetView>
  </sheetViews>
  <sheetFormatPr defaultRowHeight="15" x14ac:dyDescent="0.25"/>
  <cols>
    <col min="1" max="1" width="39.5703125" bestFit="1" customWidth="1"/>
    <col min="2" max="4" width="14.7109375" customWidth="1"/>
  </cols>
  <sheetData>
    <row r="1" spans="1:4" x14ac:dyDescent="0.25">
      <c r="A1" s="5" t="s">
        <v>3</v>
      </c>
      <c r="B1" s="2" t="s">
        <v>0</v>
      </c>
      <c r="C1" s="2" t="s">
        <v>1</v>
      </c>
      <c r="D1" s="2" t="s">
        <v>2</v>
      </c>
    </row>
    <row r="2" spans="1:4" x14ac:dyDescent="0.25">
      <c r="A2" s="6" t="s">
        <v>18</v>
      </c>
      <c r="B2" s="7">
        <v>43922</v>
      </c>
      <c r="C2" s="7">
        <v>44196</v>
      </c>
      <c r="D2" s="8">
        <f>AVERAGE(D3:D9)</f>
        <v>87.142857142857139</v>
      </c>
    </row>
    <row r="3" spans="1:4" x14ac:dyDescent="0.25">
      <c r="A3" s="4" t="s">
        <v>4</v>
      </c>
      <c r="B3" s="1">
        <v>43922</v>
      </c>
      <c r="C3" s="1">
        <v>43951</v>
      </c>
      <c r="D3">
        <v>100</v>
      </c>
    </row>
    <row r="4" spans="1:4" x14ac:dyDescent="0.25">
      <c r="A4" s="4" t="s">
        <v>5</v>
      </c>
      <c r="B4" s="1">
        <v>43922</v>
      </c>
      <c r="C4" s="1">
        <v>43951</v>
      </c>
      <c r="D4">
        <v>100</v>
      </c>
    </row>
    <row r="5" spans="1:4" x14ac:dyDescent="0.25">
      <c r="A5" s="4" t="s">
        <v>6</v>
      </c>
      <c r="B5" s="1">
        <v>43952</v>
      </c>
      <c r="C5" s="1">
        <v>43982</v>
      </c>
      <c r="D5">
        <v>100</v>
      </c>
    </row>
    <row r="6" spans="1:4" x14ac:dyDescent="0.25">
      <c r="A6" s="4" t="s">
        <v>7</v>
      </c>
      <c r="B6" s="1">
        <v>43983</v>
      </c>
      <c r="C6" s="1">
        <v>44012</v>
      </c>
      <c r="D6">
        <v>100</v>
      </c>
    </row>
    <row r="7" spans="1:4" x14ac:dyDescent="0.25">
      <c r="A7" s="4" t="s">
        <v>8</v>
      </c>
      <c r="B7" s="1">
        <v>44013</v>
      </c>
      <c r="C7" s="1">
        <v>44043</v>
      </c>
      <c r="D7">
        <v>100</v>
      </c>
    </row>
    <row r="8" spans="1:4" x14ac:dyDescent="0.25">
      <c r="A8" s="4" t="s">
        <v>9</v>
      </c>
      <c r="B8" s="1">
        <v>44044</v>
      </c>
      <c r="C8" s="1">
        <v>44074</v>
      </c>
      <c r="D8">
        <v>100</v>
      </c>
    </row>
    <row r="9" spans="1:4" x14ac:dyDescent="0.25">
      <c r="A9" s="4" t="s">
        <v>10</v>
      </c>
      <c r="B9" s="1">
        <v>44075</v>
      </c>
      <c r="C9" s="1">
        <v>44099</v>
      </c>
      <c r="D9">
        <v>10</v>
      </c>
    </row>
    <row r="10" spans="1:4" x14ac:dyDescent="0.25">
      <c r="A10" s="6" t="s">
        <v>19</v>
      </c>
      <c r="B10" s="7">
        <v>43922</v>
      </c>
      <c r="C10" s="7">
        <v>44196</v>
      </c>
      <c r="D10" s="8">
        <f>AVERAGE(D12:D15)</f>
        <v>29.666666666666668</v>
      </c>
    </row>
    <row r="11" spans="1:4" x14ac:dyDescent="0.25">
      <c r="A11" s="4" t="s">
        <v>11</v>
      </c>
      <c r="B11" s="1">
        <v>43952</v>
      </c>
      <c r="C11" s="1">
        <v>43982</v>
      </c>
      <c r="D11">
        <v>100</v>
      </c>
    </row>
    <row r="12" spans="1:4" x14ac:dyDescent="0.25">
      <c r="A12" s="4" t="s">
        <v>12</v>
      </c>
      <c r="B12" s="1">
        <v>44075</v>
      </c>
      <c r="C12" s="1">
        <v>44104</v>
      </c>
      <c r="D12">
        <v>50</v>
      </c>
    </row>
    <row r="13" spans="1:4" x14ac:dyDescent="0.25">
      <c r="A13" s="4" t="s">
        <v>13</v>
      </c>
      <c r="B13" s="1">
        <v>44105</v>
      </c>
      <c r="C13" s="1">
        <v>44135</v>
      </c>
      <c r="D13">
        <v>1</v>
      </c>
    </row>
    <row r="14" spans="1:4" x14ac:dyDescent="0.25">
      <c r="A14" s="4" t="s">
        <v>14</v>
      </c>
      <c r="B14" s="1">
        <v>44136</v>
      </c>
      <c r="C14" s="1">
        <v>44165</v>
      </c>
      <c r="D14">
        <v>1</v>
      </c>
    </row>
    <row r="15" spans="1:4" x14ac:dyDescent="0.25">
      <c r="A15" s="6" t="s">
        <v>15</v>
      </c>
      <c r="B15" s="7">
        <v>43983</v>
      </c>
      <c r="C15" s="7">
        <v>44165</v>
      </c>
      <c r="D15" s="8">
        <f>AVERAGE(D17:D20)</f>
        <v>66.666666666666671</v>
      </c>
    </row>
    <row r="16" spans="1:4" x14ac:dyDescent="0.25">
      <c r="A16" s="4" t="s">
        <v>16</v>
      </c>
      <c r="B16" s="1">
        <v>43983</v>
      </c>
      <c r="C16" s="1">
        <v>44012</v>
      </c>
      <c r="D16">
        <v>100</v>
      </c>
    </row>
    <row r="17" spans="1:4" x14ac:dyDescent="0.25">
      <c r="A17" s="4" t="s">
        <v>17</v>
      </c>
      <c r="B17" s="1">
        <v>44075</v>
      </c>
      <c r="C17" s="1">
        <v>44104</v>
      </c>
      <c r="D17">
        <v>90</v>
      </c>
    </row>
    <row r="18" spans="1:4" x14ac:dyDescent="0.25">
      <c r="A18" s="4" t="s">
        <v>20</v>
      </c>
      <c r="B18" s="1">
        <v>44089</v>
      </c>
      <c r="C18" s="1">
        <v>44135</v>
      </c>
      <c r="D18">
        <v>80</v>
      </c>
    </row>
    <row r="19" spans="1:4" x14ac:dyDescent="0.25">
      <c r="A19" s="4" t="s">
        <v>21</v>
      </c>
      <c r="B19" s="1">
        <v>44105</v>
      </c>
      <c r="C19" s="1">
        <v>44135</v>
      </c>
      <c r="D19">
        <v>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50F0-7B3F-43BC-A862-2FF80165054F}">
  <dimension ref="A1:D1"/>
  <sheetViews>
    <sheetView workbookViewId="0">
      <selection activeCell="H49" sqref="H49"/>
    </sheetView>
  </sheetViews>
  <sheetFormatPr defaultRowHeight="15" x14ac:dyDescent="0.25"/>
  <cols>
    <col min="1" max="4" width="16" customWidth="1"/>
  </cols>
  <sheetData>
    <row r="1" spans="1:4" x14ac:dyDescent="0.25">
      <c r="A1" s="5" t="s">
        <v>3</v>
      </c>
      <c r="B1" s="2" t="s">
        <v>0</v>
      </c>
      <c r="C1" s="2" t="s">
        <v>1</v>
      </c>
      <c r="D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papers</vt:lpstr>
      <vt:lpstr>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Seonggyu Park</dc:creator>
  <cp:lastModifiedBy>Seonggyu Park</cp:lastModifiedBy>
  <dcterms:created xsi:type="dcterms:W3CDTF">2020-09-09T21:06:45Z</dcterms:created>
  <dcterms:modified xsi:type="dcterms:W3CDTF">2020-09-10T18:27:41Z</dcterms:modified>
</cp:coreProperties>
</file>